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ício_Project\Desktop\sln-app(1)\public\templates\"/>
    </mc:Choice>
  </mc:AlternateContent>
  <xr:revisionPtr revIDLastSave="0" documentId="8_{81A6D8F5-DC57-4CE5-B2D3-C1AE047B9E74}" xr6:coauthVersionLast="47" xr6:coauthVersionMax="47" xr10:uidLastSave="{00000000-0000-0000-0000-000000000000}"/>
  <bookViews>
    <workbookView xWindow="-120" yWindow="-120" windowWidth="29040" windowHeight="15840" xr2:uid="{28973DD7-FAC1-44D7-A8CF-CD3C026DC945}"/>
  </bookViews>
  <sheets>
    <sheet name="ANALITICO" sheetId="1" r:id="rId1"/>
    <sheet name="NÃO ATIVOS " sheetId="3" r:id="rId2"/>
  </sheets>
  <definedNames>
    <definedName name="_xlnm._FilterDatabase" localSheetId="0" hidden="1">ANALITICO!$B$3:$P$14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N2" i="3" s="1"/>
  <c r="M1" i="3"/>
  <c r="N1" i="3" s="1"/>
  <c r="K13" i="1"/>
  <c r="L13" i="1" s="1"/>
  <c r="K5" i="1" l="1"/>
  <c r="L5" i="1" s="1"/>
  <c r="K8" i="1" l="1"/>
  <c r="L8" i="1" s="1"/>
  <c r="K11" i="1" l="1"/>
  <c r="L11" i="1" s="1"/>
  <c r="K7" i="1" l="1"/>
  <c r="L7" i="1" s="1"/>
  <c r="K14" i="1" l="1"/>
  <c r="L14" i="1" s="1"/>
  <c r="K12" i="1" l="1"/>
  <c r="L12" i="1" l="1"/>
  <c r="K10" i="1"/>
  <c r="L10" i="1" l="1"/>
  <c r="K4" i="1" l="1"/>
  <c r="L4" i="1" s="1"/>
  <c r="K9" i="1"/>
  <c r="L9" i="1" s="1"/>
  <c r="K6" i="1"/>
  <c r="L6" i="1" s="1"/>
  <c r="C2" i="1" l="1"/>
</calcChain>
</file>

<file path=xl/sharedStrings.xml><?xml version="1.0" encoding="utf-8"?>
<sst xmlns="http://schemas.openxmlformats.org/spreadsheetml/2006/main" count="116" uniqueCount="85">
  <si>
    <t>COLABORADOR</t>
  </si>
  <si>
    <t>FUNÇÃO</t>
  </si>
  <si>
    <t>VEICULO</t>
  </si>
  <si>
    <t>PLACA</t>
  </si>
  <si>
    <t>SUPERVISOR</t>
  </si>
  <si>
    <t>VALOR</t>
  </si>
  <si>
    <t>CENTRO CUSTO</t>
  </si>
  <si>
    <t>OBSERVAÇÃO</t>
  </si>
  <si>
    <t>TÉCNICO</t>
  </si>
  <si>
    <t>ANO/MODELO</t>
  </si>
  <si>
    <t>DIAS</t>
  </si>
  <si>
    <t>VALOR DIA</t>
  </si>
  <si>
    <t>2011/2012</t>
  </si>
  <si>
    <t>2020/2021</t>
  </si>
  <si>
    <t>VALOR LOCAÇÃO</t>
  </si>
  <si>
    <t>ELENILTON PADILHA</t>
  </si>
  <si>
    <t>CITROEN/C3 GLX 14</t>
  </si>
  <si>
    <t>NXE8C82</t>
  </si>
  <si>
    <t>LELIO OLIVEIRA DE ARAUJO</t>
  </si>
  <si>
    <t>RENAULT/LOGAN ZEN10MT</t>
  </si>
  <si>
    <t>RTU5D81</t>
  </si>
  <si>
    <t>2022/2023</t>
  </si>
  <si>
    <t>NEUBERT GUSTAVO CORREA DE MELO</t>
  </si>
  <si>
    <t>61-CASA CLIENTE GIGA+ MA</t>
  </si>
  <si>
    <t>60-CASA CLIENTE GIGA+ CE</t>
  </si>
  <si>
    <t>HYUNDAI/HB20S 1.6</t>
  </si>
  <si>
    <t>POW5G12</t>
  </si>
  <si>
    <t>TOTAL A PAGAR</t>
  </si>
  <si>
    <t>VEÍCULOS AGREGADOS</t>
  </si>
  <si>
    <t>CONTRATO</t>
  </si>
  <si>
    <t>SIM - ASSINADO</t>
  </si>
  <si>
    <t>QDTE</t>
  </si>
  <si>
    <t>COORDENADOR</t>
  </si>
  <si>
    <t>32-CASA CLIENTE VIP</t>
  </si>
  <si>
    <t>THIAGO SIMPLICIO CAMPOS VIEIRA</t>
  </si>
  <si>
    <t>OPB3D55</t>
  </si>
  <si>
    <t>I/KIA SPORTAGE LX2 OFFG4</t>
  </si>
  <si>
    <t>2012/2013</t>
  </si>
  <si>
    <t>ANDERSON BARBOSA FERREIRA</t>
  </si>
  <si>
    <t>VW/GOL 1.6L MB5</t>
  </si>
  <si>
    <t>QEV5D78</t>
  </si>
  <si>
    <t>67-CASA CLIENTE GIGA+ PA</t>
  </si>
  <si>
    <t>2018/2019</t>
  </si>
  <si>
    <t>EVERTON ANDRE STHEINHAUS</t>
  </si>
  <si>
    <t>CHEVROLET/COBALT 1.8 LTZ</t>
  </si>
  <si>
    <t>2014/2014</t>
  </si>
  <si>
    <t>FSW5E28</t>
  </si>
  <si>
    <t>ROGERIO BALDUINO DA CONCEICAO SILVA</t>
  </si>
  <si>
    <t>ROA6A56</t>
  </si>
  <si>
    <t>RENAULT/KWID OUTSID</t>
  </si>
  <si>
    <t>2021/2022</t>
  </si>
  <si>
    <t>PAGAMENTO: TODO DIA 27</t>
  </si>
  <si>
    <t>SND8C33</t>
  </si>
  <si>
    <t>2025/2026</t>
  </si>
  <si>
    <t>REGINALDO LUCAS MACHADO NUNES</t>
  </si>
  <si>
    <t>FRANCISCO IVO BEZERRA DOS SANTOS</t>
  </si>
  <si>
    <t>HWN4833</t>
  </si>
  <si>
    <t>GM/CELTA 3 PORTAS</t>
  </si>
  <si>
    <t>2004/2004</t>
  </si>
  <si>
    <t>IVANILDO SOUZA CASTRO</t>
  </si>
  <si>
    <t>PTQ2C78</t>
  </si>
  <si>
    <t>RENAULT/SANDERO ZEN10MT/C3</t>
  </si>
  <si>
    <t>2019/2020</t>
  </si>
  <si>
    <t>03-ENGENHARIA</t>
  </si>
  <si>
    <t>Contrato assinado 14/04/2026</t>
  </si>
  <si>
    <t>Contrato assinado 11/03/2026</t>
  </si>
  <si>
    <t>Contrato assinado 28/01/2026</t>
  </si>
  <si>
    <t>FELIPE WILLIAN FERREIRA LAMAS</t>
  </si>
  <si>
    <t>SERVIÇOS ENGENHARIA</t>
  </si>
  <si>
    <t>RENAULT/KWID ZEN 10MT</t>
  </si>
  <si>
    <t>QLH8C57</t>
  </si>
  <si>
    <t>2017/2018</t>
  </si>
  <si>
    <t>Contrato assinado 21/05/2026</t>
  </si>
  <si>
    <t>DIEGO AZEVEDO CORREA</t>
  </si>
  <si>
    <t>GM/CORSA CLASSIC</t>
  </si>
  <si>
    <t>HPO6361</t>
  </si>
  <si>
    <t>2002/2003</t>
  </si>
  <si>
    <t>Contrato assinado 16/04/2026</t>
  </si>
  <si>
    <t>Desligado 12/06/2026</t>
  </si>
  <si>
    <t>Desligado 05/06/2026</t>
  </si>
  <si>
    <t>CLAUDEILSON LUIZ SILVA DE SOUSA</t>
  </si>
  <si>
    <t>FORD/KA SE 1.0 HA C</t>
  </si>
  <si>
    <t>PTH6823</t>
  </si>
  <si>
    <t>Contrato assinado 15/06/2026</t>
  </si>
  <si>
    <t>COMPETÊNCIA: JULHO/2026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</si>
</sst>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i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4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4" fontId="0" fillId="2" borderId="1" xfId="1" applyFont="1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164" fontId="6" fillId="4" borderId="4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5" xfId="0" applyFont="1" applyFill="1" applyBorder="1"/>
    <xf numFmtId="0" fontId="0" fillId="2" borderId="1" xfId="0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44" fontId="8" fillId="2" borderId="1" xfId="1" applyFont="1" applyFill="1" applyBorder="1"/>
    <xf numFmtId="44" fontId="8" fillId="2" borderId="1" xfId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0" xfId="0" applyFont="1" applyFill="1"/>
    <xf numFmtId="14" fontId="8" fillId="2" borderId="3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601980</xdr:colOff>
      <xdr:row>0</xdr:row>
      <xdr:rowOff>386899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8F30B0-22C2-4794-8DC3-F548AAC1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6200"/>
          <a:ext cx="601980" cy="310699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CF59-4046-47B0-BA1E-36DA59E084F5}">
  <dimension ref="A1:M17"/>
  <sheetViews>
    <sheetView tabSelected="1" zoomScaleNormal="100" workbookViewId="0">
      <pane ySplit="3" topLeftCell="A4" activePane="bottomLeft" state="frozen"/>
      <selection activeCell="A5" sqref="A5"/>
      <selection pane="bottomLeft" activeCell="D12" sqref="D12"/>
    </sheetView>
  </sheetViews>
  <sheetFormatPr defaultColWidth="8.85546875" defaultRowHeight="15" x14ac:dyDescent="0.25"/>
  <cols>
    <col min="1" max="1" width="5.5703125" style="1" bestFit="1" customWidth="1"/>
    <col min="2" max="2" width="46" style="1" customWidth="1"/>
    <col min="3" max="3" width="24.140625" style="6" customWidth="1"/>
    <col min="4" max="4" width="18.85546875" style="6" customWidth="1"/>
    <col min="5" max="5" width="30.42578125" style="2" bestFit="1" customWidth="1"/>
    <col min="6" max="6" width="26.140625" style="6" bestFit="1" customWidth="1"/>
    <col min="7" max="7" width="11.28515625" style="6" bestFit="1" customWidth="1"/>
    <col min="8" max="8" width="15.140625" style="1" customWidth="1"/>
    <col min="9" max="9" width="20.7109375" style="1" bestFit="1" customWidth="1"/>
    <col min="10" max="10" width="9.42578125" style="1" bestFit="1" customWidth="1"/>
    <col min="11" max="12" width="15.140625" style="1" customWidth="1"/>
    <col min="13" max="13" width="45" style="1" customWidth="1"/>
    <col min="14" max="16" width="9.140625" style="1" customWidth="1"/>
    <col min="17" max="16384" width="8.85546875" style="1"/>
  </cols>
  <sheetData>
    <row r="1" spans="1:13" ht="33" customHeight="1" thickBot="1" x14ac:dyDescent="0.3">
      <c r="D1" s="39" t="s">
        <v>28</v>
      </c>
      <c r="E1" s="40"/>
      <c r="F1" s="22"/>
      <c r="G1" s="22"/>
      <c r="H1" s="5"/>
      <c r="I1" s="5"/>
      <c r="J1" s="5"/>
      <c r="K1" s="5"/>
      <c r="L1" s="4"/>
    </row>
    <row r="2" spans="1:13" ht="24" customHeight="1" thickBot="1" x14ac:dyDescent="0.3">
      <c r="A2" s="8"/>
      <c r="B2" s="23" t="s">
        <v>27</v>
      </c>
      <c r="C2" s="21">
        <f>SUM(L4:L129)</f>
        <v>11200</v>
      </c>
      <c r="D2" s="8"/>
      <c r="E2" s="5"/>
      <c r="F2" s="5"/>
      <c r="G2" s="5"/>
      <c r="H2" s="5"/>
      <c r="I2" s="5"/>
      <c r="J2" s="5"/>
      <c r="K2" s="5"/>
      <c r="L2" s="4"/>
    </row>
    <row r="3" spans="1:13" ht="15.75" thickBot="1" x14ac:dyDescent="0.3">
      <c r="A3" s="18" t="s">
        <v>31</v>
      </c>
      <c r="B3" s="18" t="s">
        <v>0</v>
      </c>
      <c r="C3" s="19" t="s">
        <v>1</v>
      </c>
      <c r="D3" s="19" t="s">
        <v>29</v>
      </c>
      <c r="E3" s="20" t="s">
        <v>6</v>
      </c>
      <c r="F3" s="18" t="s">
        <v>2</v>
      </c>
      <c r="G3" s="18" t="s">
        <v>3</v>
      </c>
      <c r="H3" s="18" t="s">
        <v>9</v>
      </c>
      <c r="I3" s="18" t="s">
        <v>14</v>
      </c>
      <c r="J3" s="18" t="s">
        <v>10</v>
      </c>
      <c r="K3" s="18" t="s">
        <v>11</v>
      </c>
      <c r="L3" s="18" t="s">
        <v>5</v>
      </c>
      <c r="M3" s="18" t="s">
        <v>7</v>
      </c>
    </row>
    <row r="4" spans="1:13" x14ac:dyDescent="0.25">
      <c r="A4" s="15">
        <v>1</v>
      </c>
      <c r="B4" s="15" t="s">
        <v>22</v>
      </c>
      <c r="C4" s="26" t="s">
        <v>4</v>
      </c>
      <c r="D4" s="10" t="s">
        <v>30</v>
      </c>
      <c r="E4" s="9" t="s">
        <v>24</v>
      </c>
      <c r="F4" s="10" t="s">
        <v>25</v>
      </c>
      <c r="G4" s="16" t="s">
        <v>26</v>
      </c>
      <c r="H4" s="10" t="s">
        <v>13</v>
      </c>
      <c r="I4" s="14">
        <v>1200</v>
      </c>
      <c r="J4" s="10">
        <v>30</v>
      </c>
      <c r="K4" s="11">
        <f t="shared" ref="K4:K14" si="0">I4/30</f>
        <v>40</v>
      </c>
      <c r="L4" s="13">
        <f t="shared" ref="L4:L12" si="1">K4*J4</f>
        <v>1200</v>
      </c>
      <c r="M4" s="10"/>
    </row>
    <row r="5" spans="1:13" x14ac:dyDescent="0.25">
      <c r="A5" s="15">
        <v>2</v>
      </c>
      <c r="B5" s="15" t="s">
        <v>55</v>
      </c>
      <c r="C5" s="26" t="s">
        <v>8</v>
      </c>
      <c r="D5" s="10" t="s">
        <v>30</v>
      </c>
      <c r="E5" s="9" t="s">
        <v>24</v>
      </c>
      <c r="F5" s="10" t="s">
        <v>57</v>
      </c>
      <c r="G5" s="16" t="s">
        <v>56</v>
      </c>
      <c r="H5" s="10" t="s">
        <v>58</v>
      </c>
      <c r="I5" s="14">
        <v>950</v>
      </c>
      <c r="J5" s="10">
        <v>30</v>
      </c>
      <c r="K5" s="11">
        <f t="shared" si="0"/>
        <v>31.666666666666668</v>
      </c>
      <c r="L5" s="13">
        <f>K5*J5</f>
        <v>950</v>
      </c>
      <c r="M5" s="10"/>
    </row>
    <row r="6" spans="1:13" x14ac:dyDescent="0.25">
      <c r="A6" s="15">
        <v>3</v>
      </c>
      <c r="B6" s="15" t="s">
        <v>15</v>
      </c>
      <c r="C6" s="26" t="s">
        <v>8</v>
      </c>
      <c r="D6" s="10" t="s">
        <v>30</v>
      </c>
      <c r="E6" s="9" t="s">
        <v>23</v>
      </c>
      <c r="F6" s="10" t="s">
        <v>16</v>
      </c>
      <c r="G6" s="16" t="s">
        <v>17</v>
      </c>
      <c r="H6" s="10" t="s">
        <v>12</v>
      </c>
      <c r="I6" s="14">
        <v>950</v>
      </c>
      <c r="J6" s="10">
        <v>30</v>
      </c>
      <c r="K6" s="11">
        <f t="shared" si="0"/>
        <v>31.666666666666668</v>
      </c>
      <c r="L6" s="13">
        <f t="shared" si="1"/>
        <v>950</v>
      </c>
      <c r="M6" s="10"/>
    </row>
    <row r="7" spans="1:13" x14ac:dyDescent="0.25">
      <c r="A7" s="15">
        <v>4</v>
      </c>
      <c r="B7" s="15" t="s">
        <v>59</v>
      </c>
      <c r="C7" s="26" t="s">
        <v>8</v>
      </c>
      <c r="D7" s="10" t="s">
        <v>30</v>
      </c>
      <c r="E7" s="9" t="s">
        <v>23</v>
      </c>
      <c r="F7" s="10" t="s">
        <v>61</v>
      </c>
      <c r="G7" s="16" t="s">
        <v>60</v>
      </c>
      <c r="H7" s="10" t="s">
        <v>62</v>
      </c>
      <c r="I7" s="14">
        <v>950</v>
      </c>
      <c r="J7" s="10">
        <v>30</v>
      </c>
      <c r="K7" s="11">
        <f t="shared" si="0"/>
        <v>31.666666666666668</v>
      </c>
      <c r="L7" s="13">
        <f>K7*J7</f>
        <v>950</v>
      </c>
      <c r="M7" s="10" t="s">
        <v>65</v>
      </c>
    </row>
    <row r="8" spans="1:13" x14ac:dyDescent="0.25">
      <c r="A8" s="15">
        <v>5</v>
      </c>
      <c r="B8" s="15" t="s">
        <v>73</v>
      </c>
      <c r="C8" s="26" t="s">
        <v>4</v>
      </c>
      <c r="D8" s="10" t="s">
        <v>30</v>
      </c>
      <c r="E8" s="9" t="s">
        <v>23</v>
      </c>
      <c r="F8" s="10" t="s">
        <v>74</v>
      </c>
      <c r="G8" s="16" t="s">
        <v>75</v>
      </c>
      <c r="H8" s="10" t="s">
        <v>76</v>
      </c>
      <c r="I8" s="14">
        <v>950</v>
      </c>
      <c r="J8" s="10">
        <v>30</v>
      </c>
      <c r="K8" s="11">
        <f t="shared" si="0"/>
        <v>31.666666666666668</v>
      </c>
      <c r="L8" s="13">
        <f>K8*J8</f>
        <v>950</v>
      </c>
      <c r="M8" s="10" t="s">
        <v>77</v>
      </c>
    </row>
    <row r="9" spans="1:13" x14ac:dyDescent="0.25">
      <c r="A9" s="15">
        <v>6</v>
      </c>
      <c r="B9" s="15" t="s">
        <v>18</v>
      </c>
      <c r="C9" s="26" t="s">
        <v>8</v>
      </c>
      <c r="D9" s="10" t="s">
        <v>30</v>
      </c>
      <c r="E9" s="9" t="s">
        <v>23</v>
      </c>
      <c r="F9" s="10" t="s">
        <v>19</v>
      </c>
      <c r="G9" s="16" t="s">
        <v>20</v>
      </c>
      <c r="H9" s="10" t="s">
        <v>21</v>
      </c>
      <c r="I9" s="14">
        <v>1200</v>
      </c>
      <c r="J9" s="10">
        <v>30</v>
      </c>
      <c r="K9" s="11">
        <f t="shared" si="0"/>
        <v>40</v>
      </c>
      <c r="L9" s="13">
        <f t="shared" si="1"/>
        <v>1200</v>
      </c>
      <c r="M9" s="10"/>
    </row>
    <row r="10" spans="1:13" x14ac:dyDescent="0.25">
      <c r="A10" s="15">
        <v>7</v>
      </c>
      <c r="B10" s="15" t="s">
        <v>38</v>
      </c>
      <c r="C10" s="26" t="s">
        <v>4</v>
      </c>
      <c r="D10" s="10" t="s">
        <v>30</v>
      </c>
      <c r="E10" s="9" t="s">
        <v>41</v>
      </c>
      <c r="F10" s="10" t="s">
        <v>39</v>
      </c>
      <c r="G10" s="16" t="s">
        <v>40</v>
      </c>
      <c r="H10" s="10" t="s">
        <v>42</v>
      </c>
      <c r="I10" s="14">
        <v>950</v>
      </c>
      <c r="J10" s="10">
        <v>30</v>
      </c>
      <c r="K10" s="11">
        <f t="shared" si="0"/>
        <v>31.666666666666668</v>
      </c>
      <c r="L10" s="13">
        <f t="shared" si="1"/>
        <v>950</v>
      </c>
      <c r="M10" s="10" t="s">
        <v>66</v>
      </c>
    </row>
    <row r="11" spans="1:13" x14ac:dyDescent="0.25">
      <c r="A11" s="15">
        <v>8</v>
      </c>
      <c r="B11" s="15" t="s">
        <v>43</v>
      </c>
      <c r="C11" s="26" t="s">
        <v>32</v>
      </c>
      <c r="D11" s="10" t="s">
        <v>30</v>
      </c>
      <c r="E11" s="9" t="s">
        <v>63</v>
      </c>
      <c r="F11" s="10" t="s">
        <v>44</v>
      </c>
      <c r="G11" s="16" t="s">
        <v>46</v>
      </c>
      <c r="H11" s="10" t="s">
        <v>45</v>
      </c>
      <c r="I11" s="14">
        <v>950</v>
      </c>
      <c r="J11" s="10">
        <v>30</v>
      </c>
      <c r="K11" s="11">
        <f t="shared" si="0"/>
        <v>31.666666666666668</v>
      </c>
      <c r="L11" s="13">
        <f>K11*J11</f>
        <v>950</v>
      </c>
      <c r="M11" s="10"/>
    </row>
    <row r="12" spans="1:13" x14ac:dyDescent="0.25">
      <c r="A12" s="15">
        <v>9</v>
      </c>
      <c r="B12" s="15" t="s">
        <v>67</v>
      </c>
      <c r="C12" s="26" t="s">
        <v>68</v>
      </c>
      <c r="D12" s="10" t="s">
        <v>30</v>
      </c>
      <c r="E12" s="9" t="s">
        <v>63</v>
      </c>
      <c r="F12" s="10" t="s">
        <v>69</v>
      </c>
      <c r="G12" s="16" t="s">
        <v>70</v>
      </c>
      <c r="H12" s="10" t="s">
        <v>71</v>
      </c>
      <c r="I12" s="14">
        <v>950</v>
      </c>
      <c r="J12" s="10">
        <v>30</v>
      </c>
      <c r="K12" s="11">
        <f t="shared" si="0"/>
        <v>31.666666666666668</v>
      </c>
      <c r="L12" s="13">
        <f t="shared" si="1"/>
        <v>950</v>
      </c>
      <c r="M12" s="10" t="s">
        <v>72</v>
      </c>
    </row>
    <row r="13" spans="1:13" x14ac:dyDescent="0.25">
      <c r="A13" s="15">
        <v>10</v>
      </c>
      <c r="B13" s="15" t="s">
        <v>47</v>
      </c>
      <c r="C13" s="26" t="s">
        <v>8</v>
      </c>
      <c r="D13" s="10" t="s">
        <v>30</v>
      </c>
      <c r="E13" s="9" t="s">
        <v>23</v>
      </c>
      <c r="F13" s="10" t="s">
        <v>49</v>
      </c>
      <c r="G13" s="16" t="s">
        <v>48</v>
      </c>
      <c r="H13" s="10" t="s">
        <v>50</v>
      </c>
      <c r="I13" s="14">
        <v>1200</v>
      </c>
      <c r="J13" s="10">
        <v>30</v>
      </c>
      <c r="K13" s="11">
        <f t="shared" si="0"/>
        <v>40</v>
      </c>
      <c r="L13" s="13">
        <f>K13*J13</f>
        <v>1200</v>
      </c>
      <c r="M13" s="10" t="s">
        <v>64</v>
      </c>
    </row>
    <row r="14" spans="1:13" x14ac:dyDescent="0.25">
      <c r="A14" s="15">
        <v>11</v>
      </c>
      <c r="B14" s="15" t="s">
        <v>80</v>
      </c>
      <c r="C14" s="26" t="s">
        <v>4</v>
      </c>
      <c r="D14" s="10" t="s">
        <v>30</v>
      </c>
      <c r="E14" s="9" t="s">
        <v>23</v>
      </c>
      <c r="F14" s="10" t="s">
        <v>81</v>
      </c>
      <c r="G14" s="16" t="s">
        <v>82</v>
      </c>
      <c r="H14" s="10" t="s">
        <v>42</v>
      </c>
      <c r="I14" s="14">
        <v>950</v>
      </c>
      <c r="J14" s="10">
        <v>30</v>
      </c>
      <c r="K14" s="11">
        <f t="shared" si="0"/>
        <v>31.666666666666668</v>
      </c>
      <c r="L14" s="13">
        <f>K14*J14</f>
        <v>950</v>
      </c>
      <c r="M14" s="10" t="s">
        <v>83</v>
      </c>
    </row>
    <row r="15" spans="1:13" ht="15.75" thickBot="1" x14ac:dyDescent="0.3">
      <c r="A15" s="6"/>
      <c r="B15" s="6"/>
      <c r="H15" s="6"/>
      <c r="I15" s="6"/>
      <c r="J15" s="6"/>
      <c r="K15" s="6"/>
      <c r="L15" s="7"/>
      <c r="M15" s="6"/>
    </row>
    <row r="16" spans="1:13" x14ac:dyDescent="0.25">
      <c r="A16" s="3"/>
      <c r="B16" s="24" t="s">
        <v>84</v>
      </c>
    </row>
    <row r="17" spans="1:2" ht="15.75" thickBot="1" x14ac:dyDescent="0.3">
      <c r="A17" s="3"/>
      <c r="B17" s="25" t="s">
        <v>51</v>
      </c>
    </row>
  </sheetData>
  <autoFilter ref="B3:P14" xr:uid="{D034CF59-4046-47B0-BA1E-36DA59E084F5}"/>
  <mergeCells count="1">
    <mergeCell ref="D1:E1"/>
  </mergeCells>
  <conditionalFormatting sqref="A15:B1048576 A1:B1 A3:B3 A4:A14">
    <cfRule type="duplicateValues" dxfId="5" priority="38"/>
  </conditionalFormatting>
  <conditionalFormatting sqref="B4:B14">
    <cfRule type="duplicateValues" dxfId="4" priority="55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72899A-E531-4CD9-84C6-943771477FE0}">
          <x14:formula1>
            <xm:f>#REF!</xm:f>
          </x14:formula1>
          <xm:sqref>D4:D7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E494-2133-401C-BCC2-DB342439A26D}">
  <dimension ref="A1:O2"/>
  <sheetViews>
    <sheetView workbookViewId="0">
      <selection activeCell="C15" sqref="C15"/>
    </sheetView>
  </sheetViews>
  <sheetFormatPr defaultRowHeight="15" x14ac:dyDescent="0.25"/>
  <cols>
    <col min="1" max="1" width="3" bestFit="1" customWidth="1"/>
    <col min="2" max="2" width="9" bestFit="1" customWidth="1"/>
    <col min="3" max="3" width="8.42578125" bestFit="1" customWidth="1"/>
    <col min="4" max="4" width="15.28515625" bestFit="1" customWidth="1"/>
    <col min="5" max="5" width="25.7109375" bestFit="1" customWidth="1"/>
    <col min="6" max="6" width="25.140625" bestFit="1" customWidth="1"/>
    <col min="7" max="7" width="9" bestFit="1" customWidth="1"/>
    <col min="8" max="8" width="9.85546875" bestFit="1" customWidth="1"/>
    <col min="9" max="9" width="12.140625" bestFit="1" customWidth="1"/>
    <col min="10" max="11" width="10.7109375" bestFit="1" customWidth="1"/>
    <col min="12" max="12" width="3" bestFit="1" customWidth="1"/>
    <col min="13" max="13" width="9.5703125" bestFit="1" customWidth="1"/>
    <col min="15" max="15" width="20.140625" bestFit="1" customWidth="1"/>
  </cols>
  <sheetData>
    <row r="1" spans="1:15" s="1" customFormat="1" ht="75" x14ac:dyDescent="0.25">
      <c r="A1" s="15">
        <v>1</v>
      </c>
      <c r="B1" s="37" t="s">
        <v>34</v>
      </c>
      <c r="C1" s="38" t="s">
        <v>4</v>
      </c>
      <c r="D1" s="28" t="s">
        <v>30</v>
      </c>
      <c r="E1" s="29" t="s">
        <v>33</v>
      </c>
      <c r="F1" s="28" t="s">
        <v>36</v>
      </c>
      <c r="G1" s="28" t="s">
        <v>35</v>
      </c>
      <c r="H1" s="28" t="s">
        <v>37</v>
      </c>
      <c r="I1" s="30">
        <v>950</v>
      </c>
      <c r="J1" s="35">
        <v>46143</v>
      </c>
      <c r="K1" s="36">
        <v>46173</v>
      </c>
      <c r="L1" s="28">
        <v>5</v>
      </c>
      <c r="M1" s="31">
        <f>I1/30</f>
        <v>31.666666666666668</v>
      </c>
      <c r="N1" s="32">
        <f>M1*L1</f>
        <v>158.33333333333334</v>
      </c>
      <c r="O1" s="28" t="s">
        <v>79</v>
      </c>
    </row>
    <row r="2" spans="1:15" s="34" customFormat="1" ht="75" x14ac:dyDescent="0.25">
      <c r="A2" s="15">
        <v>13</v>
      </c>
      <c r="B2" s="33" t="s">
        <v>54</v>
      </c>
      <c r="C2" s="27" t="s">
        <v>4</v>
      </c>
      <c r="D2" s="28" t="s">
        <v>30</v>
      </c>
      <c r="E2" s="29" t="s">
        <v>23</v>
      </c>
      <c r="F2" s="28" t="s">
        <v>49</v>
      </c>
      <c r="G2" s="27" t="s">
        <v>52</v>
      </c>
      <c r="H2" s="28" t="s">
        <v>53</v>
      </c>
      <c r="I2" s="30">
        <v>1200</v>
      </c>
      <c r="J2" s="17">
        <v>46143</v>
      </c>
      <c r="K2" s="12">
        <v>46173</v>
      </c>
      <c r="L2" s="10">
        <v>11</v>
      </c>
      <c r="M2" s="31">
        <f>I2/30</f>
        <v>40</v>
      </c>
      <c r="N2" s="32">
        <f>M2*L2</f>
        <v>440</v>
      </c>
      <c r="O2" s="28" t="s">
        <v>78</v>
      </c>
    </row>
  </sheetData>
  <conditionalFormatting sqref="A2">
    <cfRule type="duplicateValues" dxfId="3" priority="3"/>
  </conditionalFormatting>
  <conditionalFormatting sqref="A1:B1">
    <cfRule type="duplicateValues" dxfId="2" priority="4"/>
  </conditionalFormatting>
  <conditionalFormatting sqref="B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AA9C48-D1D4-4B08-A503-75B5A8BC8677}">
          <x14:formula1>
            <xm:f>#REF!</xm:f>
          </x14:formula1>
          <xm:sqref>D1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ANALITICO</vt:lpstr>
      <vt:lpstr>NÃO ATIVOS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Ferreira</dc:creator>
  <cp:lastModifiedBy>fabricio oliveira</cp:lastModifiedBy>
  <dcterms:created xsi:type="dcterms:W3CDTF">2023-10-05T20:59:34Z</dcterms:created>
  <dcterms:modified xsi:type="dcterms:W3CDTF">2026-08-26T19:27:20Z</dcterms:modified>
</cp:coreProperties>
</file>